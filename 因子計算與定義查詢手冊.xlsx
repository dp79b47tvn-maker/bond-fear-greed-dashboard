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使用說明" sheetId="1" state="visible" r:id="rId1"/>
    <sheet name="1.資料來源" sheetId="2" state="visible" r:id="rId2"/>
    <sheet name="2.百分位機制" sheetId="3" state="visible" r:id="rId3"/>
    <sheet name="3.可調參數總表" sheetId="4" state="visible" r:id="rId4"/>
    <sheet name="4.七因子計算定義" sheetId="5" state="visible" r:id="rId5"/>
    <sheet name="5.綜合分數與分級" sheetId="6" state="visible" r:id="rId6"/>
    <sheet name="6.驗證-IC與取樣" sheetId="7" state="visible" r:id="rId7"/>
    <sheet name="7.驗證-其他模組" sheetId="8" state="visible" r:id="rId8"/>
    <sheet name="8.實例試算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b val="1"/>
      <color rgb="00415A77"/>
      <sz val="12"/>
    </font>
    <font>
      <name val="Arial"/>
      <i val="1"/>
      <color rgb="00667085"/>
      <sz val="9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Consolas"/>
      <sz val="9"/>
    </font>
    <font>
      <name val="Arial"/>
      <color rgb="000000FF"/>
      <sz val="10"/>
    </font>
    <font>
      <name val="Arial"/>
      <color rgb="00008000"/>
      <sz val="10"/>
    </font>
  </fonts>
  <fills count="9">
    <fill>
      <patternFill/>
    </fill>
    <fill>
      <patternFill patternType="gray125"/>
    </fill>
    <fill>
      <patternFill patternType="solid">
        <fgColor rgb="00415A77"/>
      </patternFill>
    </fill>
    <fill>
      <patternFill patternType="solid">
        <fgColor rgb="00F5F7FA"/>
      </patternFill>
    </fill>
    <fill>
      <patternFill patternType="solid">
        <fgColor rgb="00FFF3CD"/>
      </patternFill>
    </fill>
    <fill>
      <patternFill patternType="solid">
        <fgColor rgb="00DDEBF7"/>
      </patternFill>
    </fill>
    <fill>
      <patternFill patternType="solid">
        <fgColor rgb="00E8F4EA"/>
      </patternFill>
    </fill>
    <fill>
      <patternFill patternType="solid">
        <fgColor rgb="001F3A5F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164" fontId="10" fillId="6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>
      <c r="B1" s="1" t="inlineStr">
        <is>
          <t>債券恐懼貪婪儀表板 → 因子驗證分析報告</t>
        </is>
      </c>
    </row>
    <row r="2">
      <c r="B2" s="2" t="inlineStr">
        <is>
          <t>完整計算與定義查詢手冊</t>
        </is>
      </c>
    </row>
    <row r="3">
      <c r="B3" s="3" t="inlineStr">
        <is>
          <t>產生日期 2026-07-21　·　範例數值取自 2026-07-19　·　對應程式 update_dashboard.py / factor_validation_analysis.py</t>
        </is>
      </c>
    </row>
    <row r="5">
      <c r="B5" s="4" t="inlineStr">
        <is>
          <t>這份手冊在做什麼</t>
        </is>
      </c>
    </row>
    <row r="6">
      <c r="B6" s="5" t="inlineStr">
        <is>
          <t>目的</t>
        </is>
      </c>
      <c r="C6" s="6" t="inlineStr">
        <is>
          <t>把「儀表板每天算分數」到「驗證報告檢查分數準不準」中間的每一個公式、參數、定義、設計理由，全部攤開成可查詢的表格。日後想改某個因子的算法時，先來這裡查『現在是怎麼定義的、參數在哪、改了會怎樣』。</t>
        </is>
      </c>
    </row>
    <row r="7">
      <c r="B7" s="5" t="inlineStr">
        <is>
          <t>怎麼用</t>
        </is>
      </c>
      <c r="C7" s="6" t="inlineStr">
        <is>
          <t>每個分頁對應一個主題。要改因子計算 → 看「3.可調參數總表」跟「4.七因子計算定義」；想驗算 → 看「8.實例試算」（活公式，改藍色輸入會自動重算）。</t>
        </is>
      </c>
    </row>
    <row r="8">
      <c r="B8" s="5" t="inlineStr">
        <is>
          <t>對應程式檔</t>
        </is>
      </c>
      <c r="C8" s="6" t="inlineStr">
        <is>
          <t>分數計算全在 update_dashboard.py 的 compute_scores() 函式；驗證分析全在 factor_validation_analysis.py。手冊每一列都標了對應的程式位置。</t>
        </is>
      </c>
    </row>
    <row r="10">
      <c r="B10" s="4" t="inlineStr">
        <is>
          <t>顏色圖例</t>
        </is>
      </c>
    </row>
    <row r="11">
      <c r="B11" s="7" t="inlineStr">
        <is>
          <t>黃底 = 可調參數</t>
        </is>
      </c>
      <c r="C11" s="6" t="inlineStr">
        <is>
          <t>你日後最可能想改的數字（視窗天數、門檻、權重方式…）。改這些就會改變因子行為。</t>
        </is>
      </c>
    </row>
    <row r="12">
      <c r="B12" s="8" t="inlineStr">
        <is>
          <t>藍底 = 原始輸入</t>
        </is>
      </c>
      <c r="C12" s="6" t="inlineStr">
        <is>
          <t>從市場抓進來的原始數據，或實例試算裡可以自己替換的輸入值。</t>
        </is>
      </c>
    </row>
    <row r="13">
      <c r="B13" s="9" t="inlineStr">
        <is>
          <t>綠底 = 公式結果</t>
        </is>
      </c>
      <c r="C13" s="6" t="inlineStr">
        <is>
          <t>由其他欄位算出來的值。實例試算頁裡這些是活公式，會跟著輸入重算。</t>
        </is>
      </c>
    </row>
    <row r="15">
      <c r="B15" s="4" t="inlineStr">
        <is>
          <t>分頁導覽</t>
        </is>
      </c>
    </row>
    <row r="16">
      <c r="B16" s="5" t="inlineStr">
        <is>
          <t>1.資料來源</t>
        </is>
      </c>
      <c r="C16" s="6" t="inlineStr">
        <is>
          <t>9個原始數據各自的來源、代號、可信度、可回溯深度。</t>
        </is>
      </c>
    </row>
    <row r="17">
      <c r="B17" s="5" t="inlineStr">
        <is>
          <t>2.百分位機制</t>
        </is>
      </c>
      <c r="C17" s="6" t="inlineStr">
        <is>
          <t>整個系統的核心：滾動百分位怎麼把任何數字變成0~100分。含實際算式。</t>
        </is>
      </c>
    </row>
    <row r="18">
      <c r="B18" s="5" t="inlineStr">
        <is>
          <t>3.可調參數總表</t>
        </is>
      </c>
      <c r="C18" s="6" t="inlineStr">
        <is>
          <t>所有可以改的參數集中在這裡，含現值、控制什麼、在程式哪裡、改了的影響。</t>
        </is>
      </c>
    </row>
    <row r="19">
      <c r="B19" s="5" t="inlineStr">
        <is>
          <t>4.七因子計算定義</t>
        </is>
      </c>
      <c r="C19" s="6" t="inlineStr">
        <is>
          <t>每個因子從原始數據到分數的完整鏈條：中間欄位、公式、視窗、反轉、理由、限制。</t>
        </is>
      </c>
    </row>
    <row r="20">
      <c r="B20" s="5" t="inlineStr">
        <is>
          <t>5.綜合分數與分級</t>
        </is>
      </c>
      <c r="C20" s="6" t="inlineStr">
        <is>
          <t>七項怎麼平均、分級標籤門檻、情境加權（實驗性）。</t>
        </is>
      </c>
    </row>
    <row r="21">
      <c r="B21" s="5" t="inlineStr">
        <is>
          <t>6.驗證-IC與取樣</t>
        </is>
      </c>
      <c r="C21" s="6" t="inlineStr">
        <is>
          <t>資訊係數怎麼算、非重疊取樣為什麼、正負號怎麼解讀。</t>
        </is>
      </c>
    </row>
    <row r="22">
      <c r="B22" s="5" t="inlineStr">
        <is>
          <t>7.驗證-其他模組</t>
        </is>
      </c>
      <c r="C22" s="6" t="inlineStr">
        <is>
          <t>分桶、Leave-one-out、相關矩陣、回測、前後半穩定性。</t>
        </is>
      </c>
    </row>
    <row r="23">
      <c r="B23" s="5" t="inlineStr">
        <is>
          <t>8.實例試算</t>
        </is>
      </c>
      <c r="C23" s="6" t="inlineStr">
        <is>
          <t>2026-07-19全流程活公式，改藍色輸入即自動重算，可拿來驗證你的修改。</t>
        </is>
      </c>
    </row>
  </sheetData>
  <mergeCells count="4">
    <mergeCell ref="B3:C3"/>
    <mergeCell ref="B5:C5"/>
    <mergeCell ref="B10:C10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26" customWidth="1" min="4" max="4"/>
    <col width="14" customWidth="1" min="5" max="5"/>
    <col width="40" customWidth="1" min="6" max="6"/>
  </cols>
  <sheetData>
    <row r="1">
      <c r="B1" s="1" t="inlineStr">
        <is>
          <t>1. 原始資料來源與可信度</t>
        </is>
      </c>
    </row>
    <row r="3">
      <c r="B3" s="10" t="inlineStr">
        <is>
          <t>欄位名</t>
        </is>
      </c>
      <c r="C3" s="10" t="inlineStr">
        <is>
          <t>代號</t>
        </is>
      </c>
      <c r="D3" s="10" t="inlineStr">
        <is>
          <t>來源</t>
        </is>
      </c>
      <c r="E3" s="10" t="inlineStr">
        <is>
          <t>可回溯到</t>
        </is>
      </c>
      <c r="F3" s="10" t="inlineStr">
        <is>
          <t>可信度說明</t>
        </is>
      </c>
    </row>
    <row r="4">
      <c r="B4" s="11" t="inlineStr">
        <is>
          <t>ZN_futures</t>
        </is>
      </c>
      <c r="C4" s="6" t="inlineStr">
        <is>
          <t>ZN=F</t>
        </is>
      </c>
      <c r="D4" s="6" t="inlineStr">
        <is>
          <t>Yahoo Finance</t>
        </is>
      </c>
      <c r="E4" s="6" t="inlineStr">
        <is>
          <t>2000-09</t>
        </is>
      </c>
      <c r="F4" s="6" t="inlineStr">
        <is>
          <t>10年期美債期貨收盤價。非官方管道但穩定，可與CME官網核對。</t>
        </is>
      </c>
    </row>
    <row r="5">
      <c r="B5" s="12" t="inlineStr">
        <is>
          <t>NQ_futures</t>
        </is>
      </c>
      <c r="C5" s="13" t="inlineStr">
        <is>
          <t>NQ=F</t>
        </is>
      </c>
      <c r="D5" s="13" t="inlineStr">
        <is>
          <t>Yahoo Finance</t>
        </is>
      </c>
      <c r="E5" s="13" t="inlineStr">
        <is>
          <t>2000-09</t>
        </is>
      </c>
      <c r="F5" s="13" t="inlineStr">
        <is>
          <t>那斯達克100期貨。同上。</t>
        </is>
      </c>
    </row>
    <row r="6">
      <c r="B6" s="11" t="inlineStr">
        <is>
          <t>TLT</t>
        </is>
      </c>
      <c r="C6" s="6" t="inlineStr">
        <is>
          <t>TLT</t>
        </is>
      </c>
      <c r="D6" s="6" t="inlineStr">
        <is>
          <t>Yahoo Finance</t>
        </is>
      </c>
      <c r="E6" s="6" t="inlineStr">
        <is>
          <t>2002-07</t>
        </is>
      </c>
      <c r="F6" s="6" t="inlineStr">
        <is>
          <t>20年期以上美債ETF（長天期）。</t>
        </is>
      </c>
    </row>
    <row r="7">
      <c r="B7" s="12" t="inlineStr">
        <is>
          <t>SHY</t>
        </is>
      </c>
      <c r="C7" s="13" t="inlineStr">
        <is>
          <t>SHY</t>
        </is>
      </c>
      <c r="D7" s="13" t="inlineStr">
        <is>
          <t>Yahoo Finance</t>
        </is>
      </c>
      <c r="E7" s="13" t="inlineStr">
        <is>
          <t>2002-07</t>
        </is>
      </c>
      <c r="F7" s="13" t="inlineStr">
        <is>
          <t>1-3年期美債ETF（短天期）。</t>
        </is>
      </c>
    </row>
    <row r="8">
      <c r="B8" s="11" t="inlineStr">
        <is>
          <t>MOVE_index</t>
        </is>
      </c>
      <c r="C8" s="6" t="inlineStr">
        <is>
          <t>^MOVE</t>
        </is>
      </c>
      <c r="D8" s="6" t="inlineStr">
        <is>
          <t>Yahoo Finance</t>
        </is>
      </c>
      <c r="E8" s="6" t="inlineStr">
        <is>
          <t>2002-11</t>
        </is>
      </c>
      <c r="F8" s="6" t="inlineStr">
        <is>
          <t>債券市場波動度指數（債市的VIX）。</t>
        </is>
      </c>
    </row>
    <row r="9">
      <c r="B9" s="12" t="inlineStr">
        <is>
          <t>UST_10Yr</t>
        </is>
      </c>
      <c r="C9" s="13" t="inlineStr">
        <is>
          <t>10 Yr</t>
        </is>
      </c>
      <c r="D9" s="13" t="inlineStr">
        <is>
          <t>Treasury.gov</t>
        </is>
      </c>
      <c r="E9" s="13" t="inlineStr">
        <is>
          <t>更早</t>
        </is>
      </c>
      <c r="F9" s="13" t="inlineStr">
        <is>
          <t>10年期公債殖利率。美國財政部官方，可信度最高。</t>
        </is>
      </c>
    </row>
    <row r="10">
      <c r="B10" s="11" t="inlineStr">
        <is>
          <t>UST_2Yr</t>
        </is>
      </c>
      <c r="C10" s="6" t="inlineStr">
        <is>
          <t>2 Yr</t>
        </is>
      </c>
      <c r="D10" s="6" t="inlineStr">
        <is>
          <t>Treasury.gov</t>
        </is>
      </c>
      <c r="E10" s="6" t="inlineStr">
        <is>
          <t>更早</t>
        </is>
      </c>
      <c r="F10" s="6" t="inlineStr">
        <is>
          <t>2年期公債殖利率。官方。</t>
        </is>
      </c>
    </row>
    <row r="11">
      <c r="B11" s="12" t="inlineStr">
        <is>
          <t>CPI_index</t>
        </is>
      </c>
      <c r="C11" s="13" t="inlineStr">
        <is>
          <t>CPIAUCSL</t>
        </is>
      </c>
      <c r="D11" s="13" t="inlineStr">
        <is>
          <t>FRED</t>
        </is>
      </c>
      <c r="E11" s="13" t="inlineStr">
        <is>
          <t>1947</t>
        </is>
      </c>
      <c r="F11" s="13" t="inlineStr">
        <is>
          <t>消費者物價指數。聯準會體系官方資料。</t>
        </is>
      </c>
    </row>
    <row r="12">
      <c r="B12" s="11" t="inlineStr">
        <is>
          <t>Breakeven_10Y</t>
        </is>
      </c>
      <c r="C12" s="6" t="inlineStr">
        <is>
          <t>T10YIE</t>
        </is>
      </c>
      <c r="D12" s="6" t="inlineStr">
        <is>
          <t>FRED</t>
        </is>
      </c>
      <c r="E12" s="6" t="inlineStr">
        <is>
          <t>2003</t>
        </is>
      </c>
      <c r="F12" s="6" t="inlineStr">
        <is>
          <t>10年期損益兩平通膨率＝市場對未來通膨的定價。官方。</t>
        </is>
      </c>
    </row>
    <row r="13">
      <c r="B13" s="12" t="inlineStr">
        <is>
          <t>put_call_ratio</t>
        </is>
      </c>
      <c r="C13" s="13" t="inlineStr">
        <is>
          <t>(無)</t>
        </is>
      </c>
      <c r="D13" s="13" t="inlineStr">
        <is>
          <t>使用者Excel輸入</t>
        </is>
      </c>
      <c r="E13" s="13" t="inlineStr">
        <is>
          <t>無資料</t>
        </is>
      </c>
      <c r="F13" s="13" t="inlineStr">
        <is>
          <t>選擇權賣權/買權比率。無免費歷史來源，全程顯示無資料、不填假值。</t>
        </is>
      </c>
    </row>
    <row r="15">
      <c r="B15" s="3" t="inlineStr">
        <is>
          <t>抓取起始日參數 FETCH_START_DATE = 2014-06-01（往前多抓5年給百分位暖身；驗證報告拉10/20年時會動態改更早）。</t>
        </is>
      </c>
    </row>
  </sheetData>
  <mergeCells count="2">
    <mergeCell ref="B15:F15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</cols>
  <sheetData>
    <row r="1">
      <c r="B1" s="1" t="inlineStr">
        <is>
          <t>2. 核心機制：滾動百分位評分法</t>
        </is>
      </c>
    </row>
    <row r="2">
      <c r="B2" s="3" t="inlineStr">
        <is>
          <t>六個因子（強度除外）都靠這個把原始數字變成0~100分。</t>
        </is>
      </c>
    </row>
    <row r="4">
      <c r="B4" s="5" t="inlineStr">
        <is>
          <t>程式函式</t>
        </is>
      </c>
      <c r="C4" s="6" t="inlineStr">
        <is>
          <t>rolling_percentile_score(series, window_days=1825, min_periods=1825)　(update_dashboard.py)</t>
        </is>
      </c>
    </row>
    <row r="5">
      <c r="B5" s="5" t="inlineStr">
        <is>
          <t>一句話</t>
        </is>
      </c>
      <c r="C5" s="6" t="inlineStr">
        <is>
          <t>拿今天的數值，跟過去5年每一天比，看今天贏過其中百分之多少天，那個百分比就是分數。</t>
        </is>
      </c>
    </row>
    <row r="6">
      <c r="B6" s="5" t="inlineStr">
        <is>
          <t>公式</t>
        </is>
      </c>
      <c r="C6" s="6" t="inlineStr">
        <is>
          <t>分數 = (過去5年視窗內「數值 ≤ 今天數值」的天數) ÷ (視窗總天數) × 100</t>
        </is>
      </c>
    </row>
    <row r="7">
      <c r="B7" s="7" t="inlineStr">
        <is>
          <t>視窗長度〔可調〕</t>
        </is>
      </c>
      <c r="C7" s="6" t="inlineStr">
        <is>
          <t>window_days = 1825 天（= 5年 × 365）。這是最常會想調的參數之一。改小→對近期更敏感、更容易到極端；改大→更平滑、更慢。</t>
        </is>
      </c>
    </row>
    <row r="8">
      <c r="B8" s="7" t="inlineStr">
        <is>
          <t>最少樣本〔可調〕</t>
        </is>
      </c>
      <c r="C8" s="6" t="inlineStr">
        <is>
          <t>min_periods = 1825，代表滿5年才開始給分（不足5年那幾天是空值）。Put/Call特例用365。</t>
        </is>
      </c>
    </row>
    <row r="9">
      <c r="B9" s="5" t="inlineStr">
        <is>
          <t>實際算例(動能,2026-07-19)</t>
        </is>
      </c>
      <c r="C9" s="6" t="inlineStr">
        <is>
          <t>今天乖離率 −0.8452%；過去1825天內有828天乖離率 ≤ −0.8452%；分數 = 828 ÷ 1825 × 100 = 45.37</t>
        </is>
      </c>
    </row>
    <row r="10">
      <c r="B10" s="5" t="inlineStr">
        <is>
          <t>為什麼用這方法</t>
        </is>
      </c>
      <c r="C10" s="6" t="inlineStr">
        <is>
          <t>① 把單位完全不同的指標（%、點數、指數）統一成0~100可比較可平均；② 比的是『相對這5年的位置』，市場整體水位墊高墊低不影響排名。</t>
        </is>
      </c>
    </row>
    <row r="11">
      <c r="B11" s="5" t="inlineStr">
        <is>
          <t>反轉(部分因子)</t>
        </is>
      </c>
      <c r="C11" s="6" t="inlineStr">
        <is>
          <t>有些因子『數值高=恐懼』（波動度、通膨意外），算完百分位後再用 100 − 百分位 反轉，讓『恐懼→低分』一致。</t>
        </is>
      </c>
    </row>
    <row r="12">
      <c r="B12" s="5" t="inlineStr">
        <is>
          <t>禁止偷看未來</t>
        </is>
      </c>
      <c r="C12" s="6" t="inlineStr">
        <is>
          <t>rolling() 一律向後看(trailing)，只用當天(含)以前資料。每次執行 assert_no_lookahead_bias() 抽8天用截斷資料重算比對，不一致就報錯中止。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6" customWidth="1" min="4" max="4"/>
    <col width="22" customWidth="1" min="5" max="5"/>
    <col width="40" customWidth="1" min="6" max="6"/>
  </cols>
  <sheetData>
    <row r="1">
      <c r="B1" s="1" t="inlineStr">
        <is>
          <t>3. 可調參數總表（想改因子先看這裡）</t>
        </is>
      </c>
    </row>
    <row r="3">
      <c r="B3" s="10" t="inlineStr">
        <is>
          <t>參數 / 定義</t>
        </is>
      </c>
      <c r="C3" s="10" t="inlineStr">
        <is>
          <t>現值</t>
        </is>
      </c>
      <c r="D3" s="10" t="inlineStr">
        <is>
          <t>控制什麼</t>
        </is>
      </c>
      <c r="E3" s="10" t="inlineStr">
        <is>
          <t>程式位置</t>
        </is>
      </c>
      <c r="F3" s="10" t="inlineStr">
        <is>
          <t>改了會怎樣</t>
        </is>
      </c>
    </row>
    <row r="4">
      <c r="B4" s="7" t="inlineStr">
        <is>
          <t>百分位視窗 window_days</t>
        </is>
      </c>
      <c r="C4" s="14" t="inlineStr">
        <is>
          <t>1825天(5年)</t>
        </is>
      </c>
      <c r="D4" s="14" t="inlineStr">
        <is>
          <t>所有百分位因子的比較基準期間</t>
        </is>
      </c>
      <c r="E4" s="14" t="inlineStr">
        <is>
          <t>rolling_percentile_score()</t>
        </is>
      </c>
      <c r="F4" s="14" t="inlineStr">
        <is>
          <t>改小→更敏感更常到極端；改大→更平滑更鈍。</t>
        </is>
      </c>
    </row>
    <row r="5">
      <c r="B5" s="15" t="inlineStr">
        <is>
          <t>動能均線期間</t>
        </is>
      </c>
      <c r="C5" s="16" t="inlineStr">
        <is>
          <t>125天</t>
        </is>
      </c>
      <c r="D5" s="16" t="inlineStr">
        <is>
          <t>動能因子的均線長度</t>
        </is>
      </c>
      <c r="E5" s="16" t="inlineStr">
        <is>
          <t>compute_scores 第1段</t>
        </is>
      </c>
      <c r="F5" s="16" t="inlineStr">
        <is>
          <t>改短→追短線動能；改長→只看長期趨勢偏離。</t>
        </is>
      </c>
    </row>
    <row r="6">
      <c r="B6" s="7" t="inlineStr">
        <is>
          <t>強度區間期間</t>
        </is>
      </c>
      <c r="C6" s="14" t="inlineStr">
        <is>
          <t>252天(52週)</t>
        </is>
      </c>
      <c r="D6" s="14" t="inlineStr">
        <is>
          <t>強度因子看多久的高低區間</t>
        </is>
      </c>
      <c r="E6" s="14" t="inlineStr">
        <is>
          <t>compute_scores 第2段</t>
        </is>
      </c>
      <c r="F6" s="14" t="inlineStr">
        <is>
          <t>改短→更常貼近區間端點；改長→更穩定。</t>
        </is>
      </c>
    </row>
    <row r="7">
      <c r="B7" s="15" t="inlineStr">
        <is>
          <t>存續期間報酬期間</t>
        </is>
      </c>
      <c r="C7" s="16" t="inlineStr">
        <is>
          <t>40天</t>
        </is>
      </c>
      <c r="D7" s="16" t="inlineStr">
        <is>
          <t>TLT/SHY報酬率的回看天數</t>
        </is>
      </c>
      <c r="E7" s="16" t="inlineStr">
        <is>
          <t>compute_scores 第3段</t>
        </is>
      </c>
      <c r="F7" s="16" t="inlineStr">
        <is>
          <t>改短→更靈敏但雜訊多；改長→更平滑。</t>
        </is>
      </c>
    </row>
    <row r="8">
      <c r="B8" s="7" t="inlineStr">
        <is>
          <t>Put/Call均值期間</t>
        </is>
      </c>
      <c r="C8" s="14" t="inlineStr">
        <is>
          <t>5天</t>
        </is>
      </c>
      <c r="D8" s="14" t="inlineStr">
        <is>
          <t>Put/Call比率的平滑天數</t>
        </is>
      </c>
      <c r="E8" s="14" t="inlineStr">
        <is>
          <t>compute_scores 第4段</t>
        </is>
      </c>
      <c r="F8" s="14" t="inlineStr">
        <is>
          <t>改長→更平滑。(目前無資料)</t>
        </is>
      </c>
    </row>
    <row r="9">
      <c r="B9" s="15" t="inlineStr">
        <is>
          <t>Put/Call最少樣本</t>
        </is>
      </c>
      <c r="C9" s="16" t="inlineStr">
        <is>
          <t>365天</t>
        </is>
      </c>
      <c r="D9" s="16" t="inlineStr">
        <is>
          <t>Put/Call百分位暖身期</t>
        </is>
      </c>
      <c r="E9" s="16" t="inlineStr">
        <is>
          <t>compute_scores 第4段</t>
        </is>
      </c>
      <c r="F9" s="16" t="inlineStr">
        <is>
          <t>非1825，因資料稀少特別放寬。</t>
        </is>
      </c>
    </row>
    <row r="10">
      <c r="B10" s="7" t="inlineStr">
        <is>
          <t>波動度偏態期間</t>
        </is>
      </c>
      <c r="C10" s="14" t="inlineStr">
        <is>
          <t>90天</t>
        </is>
      </c>
      <c r="D10" s="14" t="inlineStr">
        <is>
          <t>MOVE偏態係數的視窗</t>
        </is>
      </c>
      <c r="E10" s="14" t="inlineStr">
        <is>
          <t>compute_scores 第5段</t>
        </is>
      </c>
      <c r="F10" s="14" t="inlineStr">
        <is>
          <t>改短→更快反映近期波動轉折；改長→更穩。</t>
        </is>
      </c>
    </row>
    <row r="11">
      <c r="B11" s="15" t="inlineStr">
        <is>
          <t>殖利率曲線定義</t>
        </is>
      </c>
      <c r="C11" s="16" t="inlineStr">
        <is>
          <t>10年 − 2年 (2s10s)</t>
        </is>
      </c>
      <c r="D11" s="16" t="inlineStr">
        <is>
          <t>用哪兩個天期算利差</t>
        </is>
      </c>
      <c r="E11" s="16" t="inlineStr">
        <is>
          <t>compute_scores 第6段</t>
        </is>
      </c>
      <c r="F11" s="16" t="inlineStr">
        <is>
          <t>可改成 10年−3個月 等其他組合，訊號會不同。</t>
        </is>
      </c>
    </row>
    <row r="12">
      <c r="B12" s="7" t="inlineStr">
        <is>
          <t>通膨年增期間</t>
        </is>
      </c>
      <c r="C12" s="14" t="inlineStr">
        <is>
          <t>365天</t>
        </is>
      </c>
      <c r="D12" s="14" t="inlineStr">
        <is>
          <t>CPI年增率的比較基期</t>
        </is>
      </c>
      <c r="E12" s="14" t="inlineStr">
        <is>
          <t>compute_scores 第7段</t>
        </is>
      </c>
      <c r="F12" s="14" t="inlineStr">
        <is>
          <t>標準YoY，一般不動。</t>
        </is>
      </c>
    </row>
    <row r="13">
      <c r="B13" s="15" t="inlineStr">
        <is>
          <t>綜合分數權重</t>
        </is>
      </c>
      <c r="C13" s="16" t="inlineStr">
        <is>
          <t>等權重平均</t>
        </is>
      </c>
      <c r="D13" s="16" t="inlineStr">
        <is>
          <t>七因子怎麼合成一個分數</t>
        </is>
      </c>
      <c r="E13" s="16" t="inlineStr">
        <is>
          <t>compute_scores 結尾 composite_score</t>
        </is>
      </c>
      <c r="F13" s="16" t="inlineStr">
        <is>
          <t>可改成加權；改權重=改各因子影響力。</t>
        </is>
      </c>
    </row>
    <row r="14">
      <c r="B14" s="7" t="inlineStr">
        <is>
          <t>分級門檻</t>
        </is>
      </c>
      <c r="C14" s="14" t="inlineStr">
        <is>
          <t>0-25-45-56-76-100</t>
        </is>
      </c>
      <c r="D14" s="14" t="inlineStr">
        <is>
          <t>分數→極度恐懼/恐懼/中性/貪婪/極度貪婪</t>
        </is>
      </c>
      <c r="E14" s="14" t="inlineStr">
        <is>
          <t>label_fn()</t>
        </is>
      </c>
      <c r="F14" s="14" t="inlineStr">
        <is>
          <t>改門檻=改各情緒區間的寬窄，與CNN原版一致。</t>
        </is>
      </c>
    </row>
    <row r="15">
      <c r="B15" s="15" t="inlineStr">
        <is>
          <t>驗證-報酬期間 HORIZONS</t>
        </is>
      </c>
      <c r="C15" s="16" t="inlineStr">
        <is>
          <t>5/10/20/60天</t>
        </is>
      </c>
      <c r="D15" s="16" t="inlineStr">
        <is>
          <t>IC看未來幾天的報酬</t>
        </is>
      </c>
      <c r="E15" s="16" t="inlineStr">
        <is>
          <t>factor_validation HORIZONS</t>
        </is>
      </c>
      <c r="F15" s="16" t="inlineStr">
        <is>
          <t>改=改『預測多遠的未來』。</t>
        </is>
      </c>
    </row>
    <row r="16">
      <c r="B16" s="7" t="inlineStr">
        <is>
          <t>驗證-分桶數 N_BUCKETS</t>
        </is>
      </c>
      <c r="C16" s="14" t="inlineStr">
        <is>
          <t>5 / 10 / 20</t>
        </is>
      </c>
      <c r="D16" s="14" t="inlineStr">
        <is>
          <t>分桶分析切幾組</t>
        </is>
      </c>
      <c r="E16" s="14" t="inlineStr">
        <is>
          <t>N_BUCKETS/DECILE_N_BUCKETS</t>
        </is>
      </c>
      <c r="F16" s="14" t="inlineStr">
        <is>
          <t>切越細粒度越高但每組樣本越少。</t>
        </is>
      </c>
    </row>
    <row r="17">
      <c r="B17" s="15" t="inlineStr">
        <is>
          <t>驗證-回測死區 DEAD_ZONE</t>
        </is>
      </c>
      <c r="C17" s="16" t="inlineStr">
        <is>
          <t>(48, 52)</t>
        </is>
      </c>
      <c r="D17" s="16" t="inlineStr">
        <is>
          <t>分數多接近中性就強制空手</t>
        </is>
      </c>
      <c r="E17" s="16" t="inlineStr">
        <is>
          <t>DEAD_ZONE</t>
        </is>
      </c>
      <c r="F17" s="16" t="inlineStr">
        <is>
          <t>放寬→更少進出但更常空手；收窄→更常有部位。</t>
        </is>
      </c>
    </row>
    <row r="18">
      <c r="B18" s="7" t="inlineStr">
        <is>
          <t>驗證-低樣本警示 MIN_N</t>
        </is>
      </c>
      <c r="C18" s="14" t="inlineStr">
        <is>
          <t>10筆</t>
        </is>
      </c>
      <c r="D18" s="14" t="inlineStr">
        <is>
          <t>分桶低於幾筆標紅警示</t>
        </is>
      </c>
      <c r="E18" s="14" t="inlineStr">
        <is>
          <t>DECILE_MIN_N_WARN</t>
        </is>
      </c>
      <c r="F18" s="14" t="inlineStr">
        <is>
          <t>調整可信度警示的嚴格程度。</t>
        </is>
      </c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1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30" customWidth="1" min="4" max="4"/>
    <col width="12" customWidth="1" min="5" max="5"/>
    <col width="10" customWidth="1" min="6" max="6"/>
    <col width="34" customWidth="1" min="7" max="7"/>
    <col width="30" customWidth="1" min="8" max="8"/>
  </cols>
  <sheetData>
    <row r="1">
      <c r="B1" s="1" t="inlineStr">
        <is>
          <t>4. 七因子計算定義（完整鏈條，每項不遺漏）</t>
        </is>
      </c>
    </row>
    <row r="3">
      <c r="B3" s="10" t="inlineStr">
        <is>
          <t>因子</t>
        </is>
      </c>
      <c r="C3" s="10" t="inlineStr">
        <is>
          <t>原始輸入</t>
        </is>
      </c>
      <c r="D3" s="10" t="inlineStr">
        <is>
          <t>中間欄位與公式</t>
        </is>
      </c>
      <c r="E3" s="10" t="inlineStr">
        <is>
          <t>視窗〔可調〕</t>
        </is>
      </c>
      <c r="F3" s="10" t="inlineStr">
        <is>
          <t>反轉?</t>
        </is>
      </c>
      <c r="G3" s="10" t="inlineStr">
        <is>
          <t>設計理由（為什麼這樣＝恐懼/貪婪）</t>
        </is>
      </c>
      <c r="H3" s="10" t="inlineStr">
        <is>
          <t>已知限制</t>
        </is>
      </c>
    </row>
    <row r="4" ht="96" customHeight="1">
      <c r="B4" s="17" t="inlineStr">
        <is>
          <t>動能
momentum_score</t>
        </is>
      </c>
      <c r="C4" s="11" t="inlineStr">
        <is>
          <t>ZN_futures</t>
        </is>
      </c>
      <c r="D4" s="11" t="inlineStr">
        <is>
          <t>ZN_SMA125 = ZN過去125日均價
momentum_bias_pct = (ZN − SMA125)/SMA125×100
→ 丟5年百分位</t>
        </is>
      </c>
      <c r="E4" s="14" t="inlineStr">
        <is>
          <t>均線125天
百分位1825天</t>
        </is>
      </c>
      <c r="F4" s="18" t="inlineStr">
        <is>
          <t>否</t>
        </is>
      </c>
      <c r="G4" s="6" t="inlineStr">
        <is>
          <t>價格站上半年均線＝漲勢有慣性＝貪婪；跌破＝拋售動能＝恐懼。對應CNN『Market Momentum』債券版。</t>
        </is>
      </c>
      <c r="H4" s="6" t="inlineStr">
        <is>
          <t>單純均線乖離，趨勢轉折當下會有落後。</t>
        </is>
      </c>
    </row>
    <row r="5" ht="96" customHeight="1">
      <c r="B5" s="5" t="inlineStr">
        <is>
          <t>強度
strength_score</t>
        </is>
      </c>
      <c r="C5" s="12" t="inlineStr">
        <is>
          <t>NQ_futures</t>
        </is>
      </c>
      <c r="D5" s="12" t="inlineStr">
        <is>
          <t>nq_252d_high/low = 過去252日最高/最低
score = (NQ − low)/(high − low)×100
★不走百分位，直接算區間位置</t>
        </is>
      </c>
      <c r="E5" s="14" t="inlineStr">
        <is>
          <t>252天(52週)</t>
        </is>
      </c>
      <c r="F5" s="19" t="inlineStr">
        <is>
          <t>否</t>
        </is>
      </c>
      <c r="G5" s="13" t="inlineStr">
        <is>
          <t>用科技股(風險偏好代表)距一年高低點位置。近高點＝敢冒險＝貪婪。反映『股市情緒』，與其餘債市因子角度不同，可看股債背離。</t>
        </is>
      </c>
      <c r="H5" s="13" t="inlineStr">
        <is>
          <t>NQ長期上升趨勢，分數多貼近滿分，恐懼/中性區樣本少、鑑別力弱。</t>
        </is>
      </c>
    </row>
    <row r="6" ht="96" customHeight="1">
      <c r="B6" s="17" t="inlineStr">
        <is>
          <t>存續期間避險
duration_score</t>
        </is>
      </c>
      <c r="C6" s="11" t="inlineStr">
        <is>
          <t>TLT, SHY</t>
        </is>
      </c>
      <c r="D6" s="11" t="inlineStr">
        <is>
          <t>TLT_ret40, SHY_ret40 = 各自過去40日報酬%
duration_spread = TLT_ret40 − SHY_ret40
→ 丟5年百分位</t>
        </is>
      </c>
      <c r="E6" s="14" t="inlineStr">
        <is>
          <t>報酬40天
百分位1825天</t>
        </is>
      </c>
      <c r="F6" s="18" t="inlineStr">
        <is>
          <t>否</t>
        </is>
      </c>
      <c r="G6" s="6" t="inlineStr">
        <is>
          <t>TLT長天期(利率敏感)、SHY短天期(不敏感)。長天期跑贏＝願冒利率風險追價＝貪婪；短天期跑贏＝只要安全＝恐懼。</t>
        </is>
      </c>
      <c r="H6" s="6" t="inlineStr">
        <is>
          <t>用ETF近似存續期間曝險，非直接利率久期。</t>
        </is>
      </c>
    </row>
    <row r="7" ht="96" customHeight="1">
      <c r="B7" s="5" t="inlineStr">
        <is>
          <t>Put/Call
putcall_score</t>
        </is>
      </c>
      <c r="C7" s="12" t="inlineStr">
        <is>
          <t>put_call_ratio</t>
        </is>
      </c>
      <c r="D7" s="12" t="inlineStr">
        <is>
          <t>put_call_5d_avg = 比率5日均
putcall_score = 100 − 百分位(min_periods=365)</t>
        </is>
      </c>
      <c r="E7" s="14" t="inlineStr">
        <is>
          <t>5日均
百分位365天</t>
        </is>
      </c>
      <c r="F7" s="19" t="inlineStr">
        <is>
          <t>是</t>
        </is>
      </c>
      <c r="G7" s="13" t="inlineStr">
        <is>
          <t>賣權/買權比率高＝多人買避險＝恐懼，故反轉。</t>
        </is>
      </c>
      <c r="H7" s="13" t="inlineStr">
        <is>
          <t>★目前完全無歷史資料，全程nan，綜合分數自動排除此項。</t>
        </is>
      </c>
    </row>
    <row r="8" ht="96" customHeight="1">
      <c r="B8" s="17" t="inlineStr">
        <is>
          <t>波動度
move_score</t>
        </is>
      </c>
      <c r="C8" s="11" t="inlineStr">
        <is>
          <t>MOVE_index</t>
        </is>
      </c>
      <c r="D8" s="11" t="inlineStr">
        <is>
          <t>move_skew_90d = MOVE過去90日偏態係數
move_score = 100 − 百分位(skew)</t>
        </is>
      </c>
      <c r="E8" s="14" t="inlineStr">
        <is>
          <t>偏態90天
百分位1825天</t>
        </is>
      </c>
      <c r="F8" s="18" t="inlineStr">
        <is>
          <t>是</t>
        </is>
      </c>
      <c r="G8" s="6" t="inlineStr">
        <is>
          <t>偏態高＝近期MOVE常突然飆高、右尾拉長＝市場不穩＝恐懼，故反轉。偏態比單看水位更能抓『波動轉折』。</t>
        </is>
      </c>
      <c r="H8" s="6" t="inlineStr">
        <is>
          <t>偏態需90天樣本；50日中位數乖離率降為輔助欄位不評分。</t>
        </is>
      </c>
    </row>
    <row r="9" ht="96" customHeight="1">
      <c r="B9" s="5" t="inlineStr">
        <is>
          <t>殖利率曲線形狀
curve_score</t>
        </is>
      </c>
      <c r="C9" s="12" t="inlineStr">
        <is>
          <t>UST_10Yr, UST_2Yr</t>
        </is>
      </c>
      <c r="D9" s="12" t="inlineStr">
        <is>
          <t>curve_spread = 10年 − 2年 (2s10s)
→ 丟5年百分位</t>
        </is>
      </c>
      <c r="E9" s="14" t="inlineStr">
        <is>
          <t>百分位1825天</t>
        </is>
      </c>
      <c r="F9" s="19" t="inlineStr">
        <is>
          <t>否</t>
        </is>
      </c>
      <c r="G9" s="13" t="inlineStr">
        <is>
          <t>利差正/陡＝經濟循環正常＝貪婪；利差負/倒掛＝衰退疑慮＝恐懼。</t>
        </is>
      </c>
      <c r="H9" s="13" t="inlineStr">
        <is>
          <t>倒掛到衰退的領先時間不固定，只能當方向參考不能抓時點。</t>
        </is>
      </c>
    </row>
    <row r="10" ht="96" customHeight="1">
      <c r="B10" s="17" t="inlineStr">
        <is>
          <t>通膨意外
inflation_score</t>
        </is>
      </c>
      <c r="C10" s="11" t="inlineStr">
        <is>
          <t>CPI_index, Breakeven_10Y</t>
        </is>
      </c>
      <c r="D10" s="11" t="inlineStr">
        <is>
          <t>CPI_YoY = (CPI/CPI去年 −1)×100
inflation_surprise = CPI_YoY − Breakeven_10Y
inflation_score = 100 − 百分位</t>
        </is>
      </c>
      <c r="E10" s="14" t="inlineStr">
        <is>
          <t>年增365天
百分位1825天</t>
        </is>
      </c>
      <c r="F10" s="18" t="inlineStr">
        <is>
          <t>是</t>
        </is>
      </c>
      <c r="G10" s="6" t="inlineStr">
        <is>
          <t>實際通膨遠高於市場定價＝通膨意外惡化＝恐懼，故反轉。</t>
        </is>
      </c>
      <c r="H10" s="6" t="inlineStr">
        <is>
          <t>★用市場定價(損益兩平)當基準，非經濟學家共識預期(無免費深度資料)；概念接近『市場定價是否落後實際』而非單次公布驚喜。</t>
        </is>
      </c>
    </row>
  </sheetData>
  <mergeCells count="1">
    <mergeCell ref="B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2" customWidth="1" min="3" max="3"/>
  </cols>
  <sheetData>
    <row r="1">
      <c r="B1" s="1" t="inlineStr">
        <is>
          <t>5. 綜合分數、分級標籤、情境加權</t>
        </is>
      </c>
    </row>
    <row r="4">
      <c r="B4" s="5" t="inlineStr">
        <is>
          <t>綜合分數公式</t>
        </is>
      </c>
      <c r="C4" s="6" t="inlineStr">
        <is>
          <t>composite_score = 七項分數的等權重平均(mean, skipna=True)。某項當天無資料自動排除、由其餘項平均，不填假值。</t>
        </is>
      </c>
    </row>
    <row r="5">
      <c r="B5" s="7" t="inlineStr">
        <is>
          <t>權重〔可調〕</t>
        </is>
      </c>
      <c r="C5" s="6" t="inlineStr">
        <is>
          <t>目前等權重。若想改各因子影響力，這裡改成加權平均即可。等權重是最不易過度擬合的起點。</t>
        </is>
      </c>
    </row>
    <row r="6">
      <c r="B6" s="7" t="inlineStr">
        <is>
          <t>分級門檻〔可調〕</t>
        </is>
      </c>
      <c r="C6" s="6" t="inlineStr">
        <is>
          <t>label_fn()：0–24 極度恐懼 / 25–44 恐懼 / 45–55 中性 / 56–75 貪婪 / 76–100 極度貪婪。與CNN Fear&amp;Greed一致。</t>
        </is>
      </c>
    </row>
    <row r="7">
      <c r="B7" s="5" t="inlineStr">
        <is>
          <t>顏色語意</t>
        </is>
      </c>
      <c r="C7" s="6" t="inlineStr">
        <is>
          <t>台灣慣例：紅=貪婪、綠=恐懼（與美式CNN相反，刻意在地化）。色碼在儀表板CSS的 --tier-* 變數。</t>
        </is>
      </c>
    </row>
    <row r="8">
      <c r="B8" s="5" t="inlineStr">
        <is>
          <t>情境加權分數(實驗性)</t>
        </is>
      </c>
      <c r="C8" s="6" t="inlineStr">
        <is>
          <t>另一條可選虛線，非主線。依Fed升息/暫停/降息階段動態調整各因子權重；權重凍結於2026-07-17快照，不每天重算(才有樣本外可驗證)。</t>
        </is>
      </c>
    </row>
    <row r="9">
      <c r="B9" s="5" t="inlineStr">
        <is>
          <t>情境加權-老實話</t>
        </is>
      </c>
      <c r="C9" s="6" t="inlineStr">
        <is>
          <t>它『看起來較準』主因是權重本身用歷史反推，同資料驗證會偏樂觀，非獨立證據。真正驗證要等凍結後新資料，用 validate_regime_weights.py。</t>
        </is>
      </c>
    </row>
  </sheetData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2" customWidth="1" min="3" max="3"/>
  </cols>
  <sheetData>
    <row r="1">
      <c r="B1" s="1" t="inlineStr">
        <is>
          <t>6. 因子驗證：IC（資訊係數）與非重疊取樣</t>
        </is>
      </c>
    </row>
    <row r="4">
      <c r="B4" s="5" t="inlineStr">
        <is>
          <t>在回答什麼</t>
        </is>
      </c>
      <c r="C4" s="6" t="inlineStr">
        <is>
          <t>分數高低跟未來報酬到底有沒有關係、關係多強、方向對不對。</t>
        </is>
      </c>
    </row>
    <row r="5">
      <c r="B5" s="5" t="inlineStr">
        <is>
          <t>未來報酬公式</t>
        </is>
      </c>
      <c r="C5" s="6" t="inlineStr">
        <is>
          <t>未來N日報酬 = (N個交易日後ZN價 ÷ 今天ZN價 − 1) × 100</t>
        </is>
      </c>
    </row>
    <row r="6">
      <c r="B6" s="7" t="inlineStr">
        <is>
          <t>N〔可調〕</t>
        </is>
      </c>
      <c r="C6" s="6" t="inlineStr">
        <is>
          <t>HORIZONS = 5, 10, 20, 60 天，各算一次。改=改『預測多遠』。</t>
        </is>
      </c>
    </row>
    <row r="7">
      <c r="B7" s="7" t="inlineStr">
        <is>
          <t>非重疊取樣〔可調〕</t>
        </is>
      </c>
      <c r="C7" s="6" t="inlineStr">
        <is>
          <t>不是每天取，而是每隔N天取一對(N=報酬期間)。因相鄰日的未來報酬窗口重疊、樣本不獨立，每天取會灌水統計顯著性。20日→2372對縮成119對。</t>
        </is>
      </c>
    </row>
    <row r="8">
      <c r="B8" s="5" t="inlineStr">
        <is>
          <t>相關方法</t>
        </is>
      </c>
      <c r="C8" s="6" t="inlineStr">
        <is>
          <t>Spearman 等級相關(rho)。看排名不看數值，不要求線性，適合0~100分排序型分數。</t>
        </is>
      </c>
    </row>
    <row r="9">
      <c r="B9" s="5" t="inlineStr">
        <is>
          <t>實例(綜合分數20日)</t>
        </is>
      </c>
      <c r="C9" s="6" t="inlineStr">
        <is>
          <t>rho = +0.1423，n = 119</t>
        </is>
      </c>
    </row>
    <row r="10">
      <c r="B10" s="5" t="inlineStr">
        <is>
          <t>正負號解讀★</t>
        </is>
      </c>
      <c r="C10" s="6" t="inlineStr">
        <is>
          <t>正號=分數高、未來報酬高(動能延續)；負號=分數低、未來報酬高(均值回歸，符合『恐懼買入』假設)。實測幾乎全正=與假設相反。</t>
        </is>
      </c>
    </row>
    <row r="11">
      <c r="B11" s="5" t="inlineStr">
        <is>
          <t>數值大小解讀</t>
        </is>
      </c>
      <c r="C11" s="6" t="inlineStr">
        <is>
          <t>|rho|≈0.1 屬弱訊號，雜訊遠大於訊號；0.1 上下不宜當可靠交易訊號。報告如實呈現，不迎合假設。</t>
        </is>
      </c>
    </row>
  </sheetData>
  <mergeCells count="1"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44" customWidth="1" min="4" max="4"/>
  </cols>
  <sheetData>
    <row r="1">
      <c r="B1" s="1" t="inlineStr">
        <is>
          <t>7. 因子驗證：其他五個模組</t>
        </is>
      </c>
    </row>
    <row r="3">
      <c r="B3" s="10" t="inlineStr">
        <is>
          <t>模組</t>
        </is>
      </c>
      <c r="C3" s="10" t="inlineStr">
        <is>
          <t>怎麼算 / 參數</t>
        </is>
      </c>
      <c r="D3" s="10" t="inlineStr">
        <is>
          <t>為什麼需要 / 怎麼看</t>
        </is>
      </c>
    </row>
    <row r="4" ht="78" customHeight="1">
      <c r="B4" s="17" t="inlineStr">
        <is>
          <t>分位數分桶</t>
        </is>
      </c>
      <c r="C4" s="6" t="inlineStr">
        <is>
          <t>qcut把分數切N組(5/10/20)，算每組未來20日平均報酬。5組=CNN固定五級全樣本；10/20組=非重疊取樣、拉10/20年。每組標樣本數n，n&lt;10標紅警示。</t>
        </is>
      </c>
      <c r="D4" s="6" t="inlineStr">
        <is>
          <t>IC是一個總數，分桶看『是不是每一段都規律』還是只有極端有效。單調性係數→-1報酬隨分數遞減(符合假設)、+1遞增(動能延續)。</t>
        </is>
      </c>
    </row>
    <row r="5" ht="78" customHeight="1">
      <c r="B5" s="5" t="inlineStr">
        <is>
          <t>Leave-one-out</t>
        </is>
      </c>
      <c r="C5" s="13" t="inlineStr">
        <is>
          <t>七因子輪流拿掉一項，用剩六項重算綜合分數，再算20日IC，比較ΔIC。</t>
        </is>
      </c>
      <c r="D5" s="13" t="inlineStr">
        <is>
          <t>看拿掉哪項對整體預測力影響最大(最不可取代)、哪項幾乎沒差(可能重複)。</t>
        </is>
      </c>
    </row>
    <row r="6" ht="78" customHeight="1">
      <c r="B6" s="17" t="inlineStr">
        <is>
          <t>相關係數矩陣</t>
        </is>
      </c>
      <c r="C6" s="6" t="inlineStr">
        <is>
          <t>七因子歷史分數兩兩皮爾森相關 .corr()，seaborn熱力圖。</t>
        </is>
      </c>
      <c r="D6" s="6" t="inlineStr">
        <is>
          <t>找『講重複話』的因子。實測動能vs存續期間避險高達0.68，可考慮精簡。</t>
        </is>
      </c>
    </row>
    <row r="7" ht="78" customHeight="1">
      <c r="B7" s="5" t="inlineStr">
        <is>
          <t>策略回測(quantstats)</t>
        </is>
      </c>
      <c r="C7" s="13" t="inlineStr">
        <is>
          <t>部位=(50−分數)/50；分數0滿多、100滿空、50空手；48–52死區強制空手。t日分數套t+1日報酬(不看未來)。綜合+各因子單獨各跑一次。</t>
        </is>
      </c>
      <c r="D7" s="13" t="inlineStr">
        <is>
          <t>IC是理論關聯，回測是『真拿去交易會怎樣』。看夏普/最大回撤/勝率，並與買進持有ZN比較。</t>
        </is>
      </c>
    </row>
    <row r="8" ht="78" customHeight="1">
      <c r="B8" s="17" t="inlineStr">
        <is>
          <t>前後半穩定性</t>
        </is>
      </c>
      <c r="C8" s="6" t="inlineStr">
        <is>
          <t>資料從中間切兩半(各約1196天)，1~6項各在全樣本/前半/後半跑一次。</t>
        </is>
      </c>
      <c r="D8" s="6" t="inlineStr">
        <is>
          <t>看訊號是否只在某段(如2020疫情、2022升息)有效。前後半正負號相反=不穩定、不可放諸四海。</t>
        </is>
      </c>
    </row>
  </sheetData>
  <mergeCells count="1">
    <mergeCell ref="B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D40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46" customWidth="1" min="4" max="4"/>
  </cols>
  <sheetData>
    <row r="1">
      <c r="B1" s="1" t="inlineStr">
        <is>
          <t>8. 實例試算（2026-07-19）— 藍色為輸入，可自行替換驗算</t>
        </is>
      </c>
    </row>
    <row r="2">
      <c r="B2" s="3" t="inlineStr">
        <is>
          <t>綠色儲存格是活公式，改上方藍色輸入會自動重算。可拿來驗證你對某因子的修改是否如預期。</t>
        </is>
      </c>
    </row>
    <row r="4">
      <c r="B4" s="20" t="inlineStr">
        <is>
          <t>原始輸入（藍色，可改）</t>
        </is>
      </c>
      <c r="C4" s="21" t="n"/>
      <c r="D4" s="22" t="n"/>
    </row>
    <row r="5">
      <c r="B5" s="13" t="inlineStr">
        <is>
          <t>ZN_futures</t>
        </is>
      </c>
      <c r="C5" s="23" t="n">
        <v>109.265625</v>
      </c>
      <c r="D5" s="24" t="inlineStr"/>
    </row>
    <row r="6">
      <c r="B6" s="13" t="inlineStr">
        <is>
          <t>ZN 125日均線 SMA125</t>
        </is>
      </c>
      <c r="C6" s="23" t="n">
        <v>110.197</v>
      </c>
      <c r="D6" s="24" t="inlineStr"/>
    </row>
    <row r="7">
      <c r="B7" s="13" t="inlineStr">
        <is>
          <t>NQ_futures</t>
        </is>
      </c>
      <c r="C7" s="23" t="n">
        <v>28773.25</v>
      </c>
      <c r="D7" s="24" t="inlineStr"/>
    </row>
    <row r="8">
      <c r="B8" s="13" t="inlineStr">
        <is>
          <t>NQ 252日最高</t>
        </is>
      </c>
      <c r="C8" s="23" t="n">
        <v>30712.75</v>
      </c>
      <c r="D8" s="24" t="inlineStr"/>
    </row>
    <row r="9">
      <c r="B9" s="13" t="inlineStr">
        <is>
          <t>NQ 252日最低</t>
        </is>
      </c>
      <c r="C9" s="23" t="n">
        <v>23139.75</v>
      </c>
      <c r="D9" s="24" t="inlineStr"/>
    </row>
    <row r="10">
      <c r="B10" s="13" t="inlineStr">
        <is>
          <t>TLT 過去40日報酬%</t>
        </is>
      </c>
      <c r="C10" s="23" t="n">
        <v>-0.7048943657837481</v>
      </c>
      <c r="D10" s="24" t="inlineStr"/>
    </row>
    <row r="11">
      <c r="B11" s="13" t="inlineStr">
        <is>
          <t>SHY 過去40日報酬%</t>
        </is>
      </c>
      <c r="C11" s="23" t="n">
        <v>0.0610146703364122</v>
      </c>
      <c r="D11" s="24" t="inlineStr"/>
    </row>
    <row r="12">
      <c r="B12" s="13" t="inlineStr">
        <is>
          <t>UST 10年期%</t>
        </is>
      </c>
      <c r="C12" s="23" t="n">
        <v>4.55</v>
      </c>
      <c r="D12" s="24" t="inlineStr"/>
    </row>
    <row r="13">
      <c r="B13" s="13" t="inlineStr">
        <is>
          <t>UST 2年期%</t>
        </is>
      </c>
      <c r="C13" s="23" t="n">
        <v>4.18</v>
      </c>
      <c r="D13" s="24" t="inlineStr"/>
    </row>
    <row r="14">
      <c r="B14" s="13" t="inlineStr">
        <is>
          <t>CPI 今年</t>
        </is>
      </c>
      <c r="C14" s="23" t="n">
        <v>332.568</v>
      </c>
      <c r="D14" s="24" t="inlineStr"/>
    </row>
    <row r="15">
      <c r="B15" s="13" t="inlineStr">
        <is>
          <t>CPI 去年同期</t>
        </is>
      </c>
      <c r="C15" s="23" t="n">
        <v>322.169</v>
      </c>
      <c r="D15" s="24" t="inlineStr"/>
    </row>
    <row r="16">
      <c r="B16" s="13" t="inlineStr">
        <is>
          <t>Breakeven 10年通膨定價%</t>
        </is>
      </c>
      <c r="C16" s="23" t="n">
        <v>2.24</v>
      </c>
      <c r="D16" s="24" t="inlineStr"/>
    </row>
    <row r="17">
      <c r="B17" s="20" t="inlineStr">
        <is>
          <t>動能</t>
        </is>
      </c>
      <c r="C17" s="21" t="n"/>
      <c r="D17" s="22" t="n"/>
    </row>
    <row r="18">
      <c r="B18" s="17" t="inlineStr">
        <is>
          <t>乖離率 % = (ZN−SMA125)/SMA125×100</t>
        </is>
      </c>
      <c r="C18" s="25">
        <f>(C5-C6)/C6*100</f>
        <v/>
      </c>
      <c r="D18" s="24" t="inlineStr">
        <is>
          <t>應得 ≈ -0.845</t>
        </is>
      </c>
    </row>
    <row r="19">
      <c r="B19" s="13" t="inlineStr">
        <is>
          <t>百分位輸入：視窗內 ≤ 今天的天數</t>
        </is>
      </c>
      <c r="C19" s="23" t="n">
        <v>828</v>
      </c>
      <c r="D19" s="24" t="inlineStr">
        <is>
          <t>由程式滾動計算，此處當輸入</t>
        </is>
      </c>
    </row>
    <row r="20">
      <c r="B20" s="14" t="inlineStr">
        <is>
          <t>百分位輸入：視窗總天數〔可調〕</t>
        </is>
      </c>
      <c r="C20" s="23" t="n">
        <v>1825</v>
      </c>
      <c r="D20" s="24">
        <f> 5年×365</f>
        <v/>
      </c>
    </row>
    <row r="21">
      <c r="B21" s="17" t="inlineStr">
        <is>
          <t>動能分數 = 天數 ÷ 視窗 ×100</t>
        </is>
      </c>
      <c r="C21" s="25">
        <f>C19/C20*100</f>
        <v/>
      </c>
      <c r="D21" s="24" t="inlineStr">
        <is>
          <t>應得 45.37</t>
        </is>
      </c>
    </row>
    <row r="22">
      <c r="B22" s="20" t="inlineStr">
        <is>
          <t>強度</t>
        </is>
      </c>
      <c r="C22" s="21" t="n"/>
      <c r="D22" s="22" t="n"/>
    </row>
    <row r="23">
      <c r="B23" s="17" t="inlineStr">
        <is>
          <t>強度分數 = (NQ−低)/(高−低)×100</t>
        </is>
      </c>
      <c r="C23" s="25">
        <f>(C7-C9)/(C8-C9)*100</f>
        <v/>
      </c>
      <c r="D23" s="24" t="inlineStr">
        <is>
          <t>應得 74.39（不走百分位）</t>
        </is>
      </c>
    </row>
    <row r="24">
      <c r="B24" s="20" t="inlineStr">
        <is>
          <t>存續期間避險</t>
        </is>
      </c>
      <c r="C24" s="21" t="n"/>
      <c r="D24" s="22" t="n"/>
    </row>
    <row r="25">
      <c r="B25" s="17" t="inlineStr">
        <is>
          <t>利差% = TLT報酬 − SHY報酬</t>
        </is>
      </c>
      <c r="C25" s="25">
        <f>C10-C11</f>
        <v/>
      </c>
      <c r="D25" s="24" t="inlineStr">
        <is>
          <t>應得 ≈ -0.766，再丟百分位→50.85</t>
        </is>
      </c>
    </row>
    <row r="26">
      <c r="B26" s="20" t="inlineStr">
        <is>
          <t>殖利率曲線形狀</t>
        </is>
      </c>
      <c r="C26" s="21" t="n"/>
      <c r="D26" s="22" t="n"/>
    </row>
    <row r="27">
      <c r="B27" s="17" t="inlineStr">
        <is>
          <t>2s10s利差% = 10年 − 2年</t>
        </is>
      </c>
      <c r="C27" s="25">
        <f>C12-C13</f>
        <v/>
      </c>
      <c r="D27" s="24" t="inlineStr">
        <is>
          <t>應得 0.37，再丟百分位→62.79</t>
        </is>
      </c>
    </row>
    <row r="28">
      <c r="B28" s="20" t="inlineStr">
        <is>
          <t>通膨意外</t>
        </is>
      </c>
      <c r="C28" s="21" t="n"/>
      <c r="D28" s="22" t="n"/>
    </row>
    <row r="29">
      <c r="B29" s="17" t="inlineStr">
        <is>
          <t>CPI年增% = (今年/去年−1)×100</t>
        </is>
      </c>
      <c r="C29" s="25">
        <f>(C14/C15-1)*100</f>
        <v/>
      </c>
      <c r="D29" s="24" t="inlineStr">
        <is>
          <t>應得 ≈ 3.23</t>
        </is>
      </c>
    </row>
    <row r="30">
      <c r="B30" s="17" t="inlineStr">
        <is>
          <t>通膨意外% = CPI年增 − 市場定價</t>
        </is>
      </c>
      <c r="C30" s="25">
        <f>C29-C16</f>
        <v/>
      </c>
      <c r="D30" s="24" t="inlineStr">
        <is>
          <t>應得 ≈ 0.99，再丟百分位反轉→51.07</t>
        </is>
      </c>
    </row>
    <row r="31">
      <c r="B31" s="20" t="inlineStr">
        <is>
          <t>綜合分數（六項有資料，Put/Call缺自動排除）</t>
        </is>
      </c>
      <c r="C31" s="21" t="n"/>
      <c r="D31" s="22" t="n"/>
    </row>
    <row r="32">
      <c r="B32" s="13" t="inlineStr">
        <is>
          <t>動能分數</t>
        </is>
      </c>
      <c r="C32" s="23" t="n">
        <v>45.369863</v>
      </c>
      <c r="D32" s="24" t="inlineStr"/>
    </row>
    <row r="33">
      <c r="B33" s="13" t="inlineStr">
        <is>
          <t>強度分數</t>
        </is>
      </c>
      <c r="C33" s="23" t="n">
        <v>74.389278</v>
      </c>
      <c r="D33" s="24" t="inlineStr"/>
    </row>
    <row r="34">
      <c r="B34" s="13" t="inlineStr">
        <is>
          <t>存續期間避險分數</t>
        </is>
      </c>
      <c r="C34" s="23" t="n">
        <v>50.849315</v>
      </c>
      <c r="D34" s="24" t="inlineStr"/>
    </row>
    <row r="35">
      <c r="B35" s="13" t="inlineStr">
        <is>
          <t>波動度分數</t>
        </is>
      </c>
      <c r="C35" s="23" t="n">
        <v>11.726027</v>
      </c>
      <c r="D35" s="24" t="inlineStr"/>
    </row>
    <row r="36">
      <c r="B36" s="13" t="inlineStr">
        <is>
          <t>殖利率曲線分數</t>
        </is>
      </c>
      <c r="C36" s="23" t="n">
        <v>62.794521</v>
      </c>
      <c r="D36" s="24" t="inlineStr"/>
    </row>
    <row r="37">
      <c r="B37" s="13" t="inlineStr">
        <is>
          <t>通膨意外分數</t>
        </is>
      </c>
      <c r="C37" s="23" t="n">
        <v>51.068493</v>
      </c>
      <c r="D37" s="24" t="inlineStr"/>
    </row>
    <row r="38">
      <c r="B38" s="17" t="inlineStr">
        <is>
          <t>綜合分數 = 六項平均</t>
        </is>
      </c>
      <c r="C38" s="25">
        <f>AVERAGE(C32:C37)</f>
        <v/>
      </c>
      <c r="D38" s="24" t="inlineStr">
        <is>
          <t>應得 49.37 → 中性(45~55)</t>
        </is>
      </c>
    </row>
    <row r="40">
      <c r="B40" s="3" t="inlineStr">
        <is>
          <t>註：波動度11.73與各因子的『百分位』步驟需要完整5年分佈，無法用單一儲存格重現，故此頁把百分位當輸入；乖離率/利差/年增等『中間欄位』則為真公式可自行驗算。</t>
        </is>
      </c>
    </row>
  </sheetData>
  <mergeCells count="10">
    <mergeCell ref="B28:D28"/>
    <mergeCell ref="B31:D31"/>
    <mergeCell ref="B1:D1"/>
    <mergeCell ref="B22:D22"/>
    <mergeCell ref="B4:D4"/>
    <mergeCell ref="B17:D17"/>
    <mergeCell ref="B26:D26"/>
    <mergeCell ref="B40:D40"/>
    <mergeCell ref="B24:D2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2026-07-22T03:45:54Z</dcterms:created>
  <dcterms:modified xsi:type="dcterms:W3CDTF">2026-07-22T03:45:55Z</dcterms:modified>
</cp:coreProperties>
</file>